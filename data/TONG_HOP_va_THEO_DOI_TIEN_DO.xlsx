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Văn hóa xã hội Bà Nà\DU LIEU MAU - Ba Na SmartLink\03_Tong_hop_va_theo_doi\"/>
    </mc:Choice>
  </mc:AlternateContent>
  <bookViews>
    <workbookView xWindow="0" yWindow="0" windowWidth="28800" windowHeight="11610"/>
  </bookViews>
  <sheets>
    <sheet name="Tong hop" sheetId="1" r:id="rId1"/>
    <sheet name="Dashboard" sheetId="2" r:id="rId2"/>
    <sheet name="Theo doi tien do" sheetId="3" r:id="rId3"/>
    <sheet name="Tu dien du lieu" sheetId="4" r:id="rId4"/>
    <sheet name="Loi co y (dap an)" sheetId="5" r:id="rId5"/>
  </sheets>
  <calcPr calcId="162913"/>
</workbook>
</file>

<file path=xl/calcChain.xml><?xml version="1.0" encoding="utf-8"?>
<calcChain xmlns="http://schemas.openxmlformats.org/spreadsheetml/2006/main">
  <c r="P27" i="1" l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</calcChain>
</file>

<file path=xl/sharedStrings.xml><?xml version="1.0" encoding="utf-8"?>
<sst xmlns="http://schemas.openxmlformats.org/spreadsheetml/2006/main" count="319" uniqueCount="189">
  <si>
    <t>BẢNG TỔNG HỢP SỐ LIỆU VĂN HÓA – XÃ HỘI THEO THÔN</t>
  </si>
  <si>
    <t>Xã Bà Nà — Kỳ báo cáo: Quý II năm 2026</t>
  </si>
  <si>
    <t>STT</t>
  </si>
  <si>
    <t>Thôn</t>
  </si>
  <si>
    <t>CT01
Tổng số hộ dân</t>
  </si>
  <si>
    <t>CT02
Tổng số nhân khẩu</t>
  </si>
  <si>
    <t>CT03
Số hộ nghèo</t>
  </si>
  <si>
    <t>CT04
Số hộ cận nghèo</t>
  </si>
  <si>
    <t>CT05
Số người có công với cách mạng</t>
  </si>
  <si>
    <t>CT06
Số đối tượng bảo trợ xã hội đang hưởng trợ cấp</t>
  </si>
  <si>
    <t>CT07
Số trẻ em dưới 16 tuổi</t>
  </si>
  <si>
    <t>CT08
Số trẻ em có hoàn cảnh đặc biệt</t>
  </si>
  <si>
    <t>CT09
Số hộ đạt 'Gia đình văn hóa'</t>
  </si>
  <si>
    <t>CT10
Số người trong độ tuổi lao động</t>
  </si>
  <si>
    <t>CT11
Số người tham gia BHYT</t>
  </si>
  <si>
    <t>CT12
Số thành viên Tổ công nghệ số cộng đồng</t>
  </si>
  <si>
    <t>CT13
Số người dân được hướng dẫn dùng DVC trực tuyến trong kỳ</t>
  </si>
  <si>
    <t>CT14
Số vụ bạo lực gia đình ghi nhận trong kỳ</t>
  </si>
  <si>
    <t>Trạng thái nộp</t>
  </si>
  <si>
    <t>Thôn Phú Hòa 1</t>
  </si>
  <si>
    <t>Đúng hạn</t>
  </si>
  <si>
    <t>Thôn Phú Hòa 2</t>
  </si>
  <si>
    <t>Thôn Thạch Nham Đông</t>
  </si>
  <si>
    <t>Trễ hạn</t>
  </si>
  <si>
    <t>Thôn Phước Thái</t>
  </si>
  <si>
    <t>Thôn Thái Lai</t>
  </si>
  <si>
    <t>Thôn Hòa Khương Đông</t>
  </si>
  <si>
    <t>Thôn Hòa Khương Tây</t>
  </si>
  <si>
    <t>Thôn Phước Thuận - Phước Hậu</t>
  </si>
  <si>
    <t>Thôn Phước Hưng</t>
  </si>
  <si>
    <t>Thôn Phước Hưng Nam</t>
  </si>
  <si>
    <t>Thôn Ninh An</t>
  </si>
  <si>
    <t>Chưa nộp</t>
  </si>
  <si>
    <t>Thôn Trước Đông</t>
  </si>
  <si>
    <t>Thôn Diêu Phong</t>
  </si>
  <si>
    <t>Thôn Sơn Phước</t>
  </si>
  <si>
    <t>Thôn Mỹ Sơn</t>
  </si>
  <si>
    <t>Thôn Năm</t>
  </si>
  <si>
    <t>Thôn Hòa Trung</t>
  </si>
  <si>
    <t>Thôn Một</t>
  </si>
  <si>
    <t>Thôn Trung Nghĩa</t>
  </si>
  <si>
    <t>Thôn Đông Sơn</t>
  </si>
  <si>
    <t>Thôn Thạch Nham Tây</t>
  </si>
  <si>
    <t>Thôn An Sơn</t>
  </si>
  <si>
    <t>TỔNG CỘNG (các thôn đã nộp)</t>
  </si>
  <si>
    <t>DASHBOARD TỔNG QUAN</t>
  </si>
  <si>
    <t>Chỉ số</t>
  </si>
  <si>
    <t>Giá trị</t>
  </si>
  <si>
    <t>Tổng số thôn</t>
  </si>
  <si>
    <t>Đã nộp</t>
  </si>
  <si>
    <t>Chưa nộp / quá hạn</t>
  </si>
  <si>
    <t>Tỷ lệ nộp (%)</t>
  </si>
  <si>
    <t>Chỉ tiêu (tổng toàn xã)</t>
  </si>
  <si>
    <t>Tổng số hộ dân</t>
  </si>
  <si>
    <t>Số hộ nghèo</t>
  </si>
  <si>
    <t>Số hộ cận nghèo</t>
  </si>
  <si>
    <t>Số người có công với cách mạng</t>
  </si>
  <si>
    <t>Số đối tượng bảo trợ xã hội đang hưởng trợ cấp</t>
  </si>
  <si>
    <t>Số hộ đạt 'Gia đình văn hóa'</t>
  </si>
  <si>
    <t>THEO DÕI TIẾN ĐỘ NỘP BÁO CÁO</t>
  </si>
  <si>
    <t>Hạn nộp: 15/06/2026 17:00  —  Thời điểm tổng hợp: 19/06/2026 09:00</t>
  </si>
  <si>
    <t>Người lập (bịa)</t>
  </si>
  <si>
    <t>SĐT (bịa)</t>
  </si>
  <si>
    <t>Thời điểm nộp</t>
  </si>
  <si>
    <t>Trạng thái</t>
  </si>
  <si>
    <t>Số ngày trễ</t>
  </si>
  <si>
    <t>Trần Thành Thảo</t>
  </si>
  <si>
    <t>0900813998</t>
  </si>
  <si>
    <t>15/06/2026 12:00</t>
  </si>
  <si>
    <t>Vũ Xuân Trang</t>
  </si>
  <si>
    <t>0900797309</t>
  </si>
  <si>
    <t>11/06/2026 09:00</t>
  </si>
  <si>
    <t>Trần Thị Mai</t>
  </si>
  <si>
    <t>0900170753</t>
  </si>
  <si>
    <t>18/06/2026 17:00</t>
  </si>
  <si>
    <t>Vũ Quang Nga</t>
  </si>
  <si>
    <t>0900568151</t>
  </si>
  <si>
    <t>14/06/2026 16:00</t>
  </si>
  <si>
    <t>Bùi Thanh Mai</t>
  </si>
  <si>
    <t>0900472940</t>
  </si>
  <si>
    <t>12/06/2026 09:00</t>
  </si>
  <si>
    <t>Lý Bá Nga</t>
  </si>
  <si>
    <t>0900576169</t>
  </si>
  <si>
    <t>13/06/2026 17:00</t>
  </si>
  <si>
    <t>Bùi Minh Dũng</t>
  </si>
  <si>
    <t>0900689768</t>
  </si>
  <si>
    <t>Hoàng Ngọc Tuấn</t>
  </si>
  <si>
    <t>0900788093</t>
  </si>
  <si>
    <t>17/06/2026 22:00</t>
  </si>
  <si>
    <t>Dương Hữu Bình</t>
  </si>
  <si>
    <t>0900819672</t>
  </si>
  <si>
    <t>13/06/2026 11:00</t>
  </si>
  <si>
    <t>Đặng Đức Dũng</t>
  </si>
  <si>
    <t>0900778486</t>
  </si>
  <si>
    <t>Hồ Quang Trang</t>
  </si>
  <si>
    <t>0900876634</t>
  </si>
  <si>
    <t>Chưa nộp (quá hạn)</t>
  </si>
  <si>
    <t>Lý Quang An</t>
  </si>
  <si>
    <t>0900029787</t>
  </si>
  <si>
    <t>12/06/2026 14:00</t>
  </si>
  <si>
    <t>Phan Đức Linh</t>
  </si>
  <si>
    <t>0900778768</t>
  </si>
  <si>
    <t>15/06/2026 11:00</t>
  </si>
  <si>
    <t>Hồ Văn Mai</t>
  </si>
  <si>
    <t>0900571784</t>
  </si>
  <si>
    <t>Đặng Hữu Quân</t>
  </si>
  <si>
    <t>0900714751</t>
  </si>
  <si>
    <t>14/06/2026 15:00</t>
  </si>
  <si>
    <t>Phạm Bá Quân</t>
  </si>
  <si>
    <t>0900270107</t>
  </si>
  <si>
    <t>16/06/2026 17:00</t>
  </si>
  <si>
    <t>Đỗ Thanh Cường</t>
  </si>
  <si>
    <t>0900933190</t>
  </si>
  <si>
    <t>12/06/2026 15:00</t>
  </si>
  <si>
    <t>Dương Thanh Linh</t>
  </si>
  <si>
    <t>0900520599</t>
  </si>
  <si>
    <t>13/06/2026 15:00</t>
  </si>
  <si>
    <t>Dương Minh Hà</t>
  </si>
  <si>
    <t>0900837929</t>
  </si>
  <si>
    <t>15/06/2026 13:00</t>
  </si>
  <si>
    <t>Ngô Thanh Mai</t>
  </si>
  <si>
    <t>09x-abc</t>
  </si>
  <si>
    <t>15/06/2026 17:00</t>
  </si>
  <si>
    <t>Trần Ngọc Hải</t>
  </si>
  <si>
    <t>0900294866</t>
  </si>
  <si>
    <t>Dương Hữu Thảo</t>
  </si>
  <si>
    <t>0900360161</t>
  </si>
  <si>
    <t>TỪ ĐIỂN DỮ LIỆU (DATA DICTIONARY)</t>
  </si>
  <si>
    <t>Mã CT</t>
  </si>
  <si>
    <t>Tên chỉ tiêu</t>
  </si>
  <si>
    <t>Đơn vị tính</t>
  </si>
  <si>
    <t>Kiểu dữ liệu</t>
  </si>
  <si>
    <t>Ràng buộc / kiểm tra hợp lệ</t>
  </si>
  <si>
    <t>CT01</t>
  </si>
  <si>
    <t>Hộ</t>
  </si>
  <si>
    <t>Số nguyên</t>
  </si>
  <si>
    <t>Số nguyên ≥ 0</t>
  </si>
  <si>
    <t>CT02</t>
  </si>
  <si>
    <t>Tổng số nhân khẩu</t>
  </si>
  <si>
    <t>Người</t>
  </si>
  <si>
    <t>Số nguyên ≥ 0; ≈ 3–4.5 lần số hộ (cảnh báo nếu lệch)</t>
  </si>
  <si>
    <t>CT03</t>
  </si>
  <si>
    <t>Số nguyên ≥ 0; CT03 ≤ CT01</t>
  </si>
  <si>
    <t>CT04</t>
  </si>
  <si>
    <t>Số nguyên ≥ 0; CT03+CT04 ≤ CT01</t>
  </si>
  <si>
    <t>CT05</t>
  </si>
  <si>
    <t>CT06</t>
  </si>
  <si>
    <t>CT07</t>
  </si>
  <si>
    <t>Số trẻ em dưới 16 tuổi</t>
  </si>
  <si>
    <t>Số nguyên ≥ 0; ≤ CT02</t>
  </si>
  <si>
    <t>CT08</t>
  </si>
  <si>
    <t>Số trẻ em có hoàn cảnh đặc biệt</t>
  </si>
  <si>
    <t>Số nguyên ≥ 0; ≤ CT07</t>
  </si>
  <si>
    <t>CT09</t>
  </si>
  <si>
    <t>Số nguyên ≥ 0; ≤ CT01</t>
  </si>
  <si>
    <t>CT10</t>
  </si>
  <si>
    <t>Số người trong độ tuổi lao động</t>
  </si>
  <si>
    <t>CT11</t>
  </si>
  <si>
    <t>Số người tham gia BHYT</t>
  </si>
  <si>
    <t>CT12</t>
  </si>
  <si>
    <t>Số thành viên Tổ công nghệ số cộng đồng</t>
  </si>
  <si>
    <t>Số nguyên ≥ 0 (khớp Danh sách Tổ CNSCĐ)</t>
  </si>
  <si>
    <t>CT13</t>
  </si>
  <si>
    <t>Số người dân được hướng dẫn dùng DVC trực tuyến trong kỳ</t>
  </si>
  <si>
    <t>CT14</t>
  </si>
  <si>
    <t>Số vụ bạo lực gia đình ghi nhận trong kỳ</t>
  </si>
  <si>
    <t>Vụ</t>
  </si>
  <si>
    <t>DANH SÁCH LỖI CỐ Ý CÀI VÀO DỮ LIỆU (ĐÁP ÁN ĐỂ KIỂM THỬ AI)</t>
  </si>
  <si>
    <t>Dùng để chấm: AI phải tự phát hiện các lỗi sau khi tổng hợp.</t>
  </si>
  <si>
    <t>Chỉ tiêu</t>
  </si>
  <si>
    <t>Loại lỗi</t>
  </si>
  <si>
    <t>Mô tả / Kỳ vọng AI phát hiện</t>
  </si>
  <si>
    <t>BLANK</t>
  </si>
  <si>
    <t>Bỏ trống 'Số hộ cận nghèo' -&gt; AI phải báo THIẾU dữ liệu</t>
  </si>
  <si>
    <t>TEXT</t>
  </si>
  <si>
    <t>Nhập chữ 'Một nghìn hai trăm' thay vì số -&gt; SAI ĐỊNH DẠNG</t>
  </si>
  <si>
    <t>SEP</t>
  </si>
  <si>
    <t>Nhập '2.450' (dấu phân tách) dạng chuỗi -&gt; SAI ĐỊNH DẠNG/khó cộng</t>
  </si>
  <si>
    <t>OUTLIER</t>
  </si>
  <si>
    <t>Nhân khẩu = 25000 (gõ nhầm) -&gt; BẤT THƯỜNG (outlier)</t>
  </si>
  <si>
    <t>LOGIC</t>
  </si>
  <si>
    <t>Số hộ nghèo &gt; Tổng số hộ -&gt; MÂU THUẪN logic</t>
  </si>
  <si>
    <t>Số người BHYT &gt; Tổng nhân khẩu -&gt; MÂU THUẪN logic</t>
  </si>
  <si>
    <t>PHONE</t>
  </si>
  <si>
    <t>BADPHONE</t>
  </si>
  <si>
    <t>Số điện thoại sai định dạng '09x-abc' -&gt; SAI ĐỊNH DẠNG</t>
  </si>
  <si>
    <t>-</t>
  </si>
  <si>
    <t>CHƯA NỘP</t>
  </si>
  <si>
    <t>Không có file -&gt; tracker phải báo 'Chưa nộp / quá hạn'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</si>
</sst>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163"/>
    </font>
    <font>
      <i/>
      <sz val="11"/>
      <name val="Calibri"/>
      <family val="2"/>
      <charset val="163"/>
    </font>
    <font>
      <b/>
      <sz val="10"/>
      <color rgb="FFFFFFFF"/>
      <name val="Calibri"/>
      <family val="2"/>
      <charset val="163"/>
    </font>
    <font>
      <b/>
      <sz val="11"/>
      <name val="Calibri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1F6FB2"/>
      </patternFill>
    </fill>
    <fill>
      <patternFill patternType="solid">
        <fgColor rgb="FFE8F0FE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/>
    <xf numFmtId="0" fontId="4" fillId="3" borderId="1" xfId="0" applyFont="1" applyFill="1" applyBorder="1"/>
    <xf numFmtId="0" fontId="0" fillId="0" borderId="1" xfId="0" applyBorder="1"/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Tổng số liệu một số chỉ tiêu (toàn xã)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Giá trị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Dashboard!$A$13:$A$18</c:f>
              <c:strCache>
                <c:ptCount val="6"/>
                <c:pt idx="0">
                  <c:v>Tổng số hộ dân</c:v>
                </c:pt>
                <c:pt idx="1">
                  <c:v>Số hộ nghèo</c:v>
                </c:pt>
                <c:pt idx="2">
                  <c:v>Số hộ cận nghèo</c:v>
                </c:pt>
                <c:pt idx="3">
                  <c:v>Số người có công với cách mạng</c:v>
                </c:pt>
                <c:pt idx="4">
                  <c:v>Số đối tượng bảo trợ xã hội đang hưởng trợ cấp</c:v>
                </c:pt>
                <c:pt idx="5">
                  <c:v>Số hộ đạt 'Gia đình văn hóa'</c:v>
                </c:pt>
              </c:strCache>
            </c:strRef>
          </c:cat>
          <c:val>
            <c:numRef>
              <c:f>Dashboard!$B$13:$B$18</c:f>
              <c:numCache>
                <c:formatCode>General</c:formatCode>
                <c:ptCount val="6"/>
                <c:pt idx="0">
                  <c:v>7376</c:v>
                </c:pt>
                <c:pt idx="1">
                  <c:v>255</c:v>
                </c:pt>
                <c:pt idx="2">
                  <c:v>270</c:v>
                </c:pt>
                <c:pt idx="3">
                  <c:v>492</c:v>
                </c:pt>
                <c:pt idx="4">
                  <c:v>948</c:v>
                </c:pt>
                <c:pt idx="5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3-41CA-89B7-927226CD4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30" customWidth="1"/>
    <col min="3" max="16" width="12" customWidth="1"/>
    <col min="17" max="17" width="14" customWidth="1"/>
  </cols>
  <sheetData>
    <row r="1" spans="1:17" ht="17.25" x14ac:dyDescent="0.3">
      <c r="A1" s="1" t="s">
        <v>0</v>
      </c>
    </row>
    <row r="2" spans="1:17" x14ac:dyDescent="0.25">
      <c r="A2" s="2" t="s">
        <v>1</v>
      </c>
    </row>
    <row r="4" spans="1:17" ht="42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5">
      <c r="A5" s="4">
        <v>1</v>
      </c>
      <c r="B5" s="5" t="s">
        <v>19</v>
      </c>
      <c r="C5" s="4">
        <v>587</v>
      </c>
      <c r="D5" s="4">
        <v>2368</v>
      </c>
      <c r="E5" s="4">
        <v>24</v>
      </c>
      <c r="F5" s="4">
        <v>16</v>
      </c>
      <c r="G5" s="4">
        <v>10</v>
      </c>
      <c r="H5" s="4">
        <v>50</v>
      </c>
      <c r="I5" s="4">
        <v>597</v>
      </c>
      <c r="J5" s="4">
        <v>2</v>
      </c>
      <c r="K5" s="4">
        <v>505</v>
      </c>
      <c r="L5" s="4">
        <v>1391</v>
      </c>
      <c r="M5" s="4">
        <v>2197</v>
      </c>
      <c r="N5" s="4">
        <v>8</v>
      </c>
      <c r="O5" s="4">
        <v>122</v>
      </c>
      <c r="P5" s="4">
        <v>1</v>
      </c>
      <c r="Q5" s="4" t="s">
        <v>20</v>
      </c>
    </row>
    <row r="6" spans="1:17" x14ac:dyDescent="0.25">
      <c r="A6" s="4">
        <v>2</v>
      </c>
      <c r="B6" s="5" t="s">
        <v>21</v>
      </c>
      <c r="C6" s="4">
        <v>446</v>
      </c>
      <c r="D6" s="4">
        <v>1666</v>
      </c>
      <c r="E6" s="4">
        <v>21</v>
      </c>
      <c r="F6" s="4">
        <v>11</v>
      </c>
      <c r="G6" s="4">
        <v>22</v>
      </c>
      <c r="H6" s="4">
        <v>45</v>
      </c>
      <c r="I6" s="4">
        <v>317</v>
      </c>
      <c r="J6" s="4">
        <v>1</v>
      </c>
      <c r="K6" s="4">
        <v>404</v>
      </c>
      <c r="L6" s="4">
        <v>989</v>
      </c>
      <c r="M6" s="4">
        <v>1426</v>
      </c>
      <c r="N6" s="4">
        <v>7</v>
      </c>
      <c r="O6" s="4">
        <v>77</v>
      </c>
      <c r="P6" s="4">
        <v>0</v>
      </c>
      <c r="Q6" s="4" t="s">
        <v>20</v>
      </c>
    </row>
    <row r="7" spans="1:17" x14ac:dyDescent="0.25">
      <c r="A7" s="4">
        <v>3</v>
      </c>
      <c r="B7" s="5" t="s">
        <v>22</v>
      </c>
      <c r="C7" s="4">
        <v>434</v>
      </c>
      <c r="D7" s="4">
        <v>1607</v>
      </c>
      <c r="E7" s="4">
        <v>8</v>
      </c>
      <c r="F7" s="4">
        <v>17</v>
      </c>
      <c r="G7" s="4">
        <v>39</v>
      </c>
      <c r="H7" s="4">
        <v>44</v>
      </c>
      <c r="I7" s="4">
        <v>341</v>
      </c>
      <c r="J7" s="4">
        <v>5</v>
      </c>
      <c r="K7" s="4">
        <v>351</v>
      </c>
      <c r="L7" s="4">
        <v>965</v>
      </c>
      <c r="M7" s="4">
        <v>1463</v>
      </c>
      <c r="N7" s="4">
        <v>8</v>
      </c>
      <c r="O7" s="4">
        <v>95</v>
      </c>
      <c r="P7" s="4">
        <v>2</v>
      </c>
      <c r="Q7" s="4" t="s">
        <v>23</v>
      </c>
    </row>
    <row r="8" spans="1:17" x14ac:dyDescent="0.25">
      <c r="A8" s="4">
        <v>4</v>
      </c>
      <c r="B8" s="5" t="s">
        <v>24</v>
      </c>
      <c r="C8" s="4">
        <v>395</v>
      </c>
      <c r="D8" s="4">
        <v>1301</v>
      </c>
      <c r="E8" s="4">
        <v>15</v>
      </c>
      <c r="F8" s="4">
        <v>16</v>
      </c>
      <c r="G8" s="4">
        <v>37</v>
      </c>
      <c r="H8" s="4">
        <v>55</v>
      </c>
      <c r="I8" s="4">
        <v>254</v>
      </c>
      <c r="J8" s="4">
        <v>3</v>
      </c>
      <c r="K8" s="4">
        <v>336</v>
      </c>
      <c r="L8" s="4">
        <v>723</v>
      </c>
      <c r="M8" s="4">
        <v>1226</v>
      </c>
      <c r="N8" s="4">
        <v>7</v>
      </c>
      <c r="O8" s="4">
        <v>58</v>
      </c>
      <c r="P8" s="4">
        <v>2</v>
      </c>
      <c r="Q8" s="4" t="s">
        <v>20</v>
      </c>
    </row>
    <row r="9" spans="1:17" x14ac:dyDescent="0.25">
      <c r="A9" s="4">
        <v>5</v>
      </c>
      <c r="B9" s="5" t="s">
        <v>25</v>
      </c>
      <c r="C9" s="4">
        <v>427</v>
      </c>
      <c r="D9" s="4">
        <v>1669</v>
      </c>
      <c r="E9" s="4">
        <v>11</v>
      </c>
      <c r="F9" s="4">
        <v>16</v>
      </c>
      <c r="G9" s="4">
        <v>24</v>
      </c>
      <c r="H9" s="4">
        <v>37</v>
      </c>
      <c r="I9" s="4">
        <v>374</v>
      </c>
      <c r="J9" s="4">
        <v>2</v>
      </c>
      <c r="K9" s="4">
        <v>373</v>
      </c>
      <c r="L9" s="4">
        <v>1014</v>
      </c>
      <c r="M9" s="4">
        <v>1484</v>
      </c>
      <c r="N9" s="4">
        <v>7</v>
      </c>
      <c r="O9" s="4">
        <v>73</v>
      </c>
      <c r="P9" s="4">
        <v>0</v>
      </c>
      <c r="Q9" s="4" t="s">
        <v>20</v>
      </c>
    </row>
    <row r="10" spans="1:17" x14ac:dyDescent="0.25">
      <c r="A10" s="4">
        <v>6</v>
      </c>
      <c r="B10" s="5" t="s">
        <v>26</v>
      </c>
      <c r="C10" s="4">
        <v>357</v>
      </c>
      <c r="D10" s="4">
        <v>1160</v>
      </c>
      <c r="E10" s="4">
        <v>10</v>
      </c>
      <c r="F10" s="4">
        <v>10</v>
      </c>
      <c r="G10" s="4">
        <v>25</v>
      </c>
      <c r="H10" s="4">
        <v>57</v>
      </c>
      <c r="I10" s="4">
        <v>209</v>
      </c>
      <c r="J10" s="4">
        <v>3</v>
      </c>
      <c r="K10" s="4">
        <v>334</v>
      </c>
      <c r="L10" s="4">
        <v>742</v>
      </c>
      <c r="M10" s="4">
        <v>1122</v>
      </c>
      <c r="N10" s="4">
        <v>8</v>
      </c>
      <c r="O10" s="4">
        <v>58</v>
      </c>
      <c r="P10" s="4">
        <v>0</v>
      </c>
      <c r="Q10" s="4" t="s">
        <v>20</v>
      </c>
    </row>
    <row r="11" spans="1:17" x14ac:dyDescent="0.25">
      <c r="A11" s="4">
        <v>7</v>
      </c>
      <c r="B11" s="5" t="s">
        <v>27</v>
      </c>
      <c r="C11" s="4">
        <v>618</v>
      </c>
      <c r="D11" s="4">
        <v>1995</v>
      </c>
      <c r="E11" s="4">
        <v>27</v>
      </c>
      <c r="F11" s="4">
        <v>17</v>
      </c>
      <c r="G11" s="4">
        <v>24</v>
      </c>
      <c r="H11" s="4">
        <v>62</v>
      </c>
      <c r="I11" s="4">
        <v>474</v>
      </c>
      <c r="J11" s="4">
        <v>2</v>
      </c>
      <c r="K11" s="4">
        <v>515</v>
      </c>
      <c r="L11" s="4">
        <v>1292</v>
      </c>
      <c r="M11" s="4">
        <v>1848</v>
      </c>
      <c r="N11" s="4">
        <v>8</v>
      </c>
      <c r="O11" s="4">
        <v>33</v>
      </c>
      <c r="P11" s="4">
        <v>3</v>
      </c>
      <c r="Q11" s="4" t="s">
        <v>20</v>
      </c>
    </row>
    <row r="12" spans="1:17" x14ac:dyDescent="0.25">
      <c r="A12" s="4">
        <v>8</v>
      </c>
      <c r="B12" s="5" t="s">
        <v>28</v>
      </c>
      <c r="C12" s="4">
        <v>446</v>
      </c>
      <c r="D12" s="4">
        <v>1813</v>
      </c>
      <c r="E12" s="4">
        <v>12</v>
      </c>
      <c r="F12" s="4">
        <v>10</v>
      </c>
      <c r="G12" s="4">
        <v>11</v>
      </c>
      <c r="H12" s="4">
        <v>18</v>
      </c>
      <c r="I12" s="4">
        <v>464</v>
      </c>
      <c r="J12" s="4">
        <v>2</v>
      </c>
      <c r="K12" s="4">
        <v>415</v>
      </c>
      <c r="L12" s="4">
        <v>1104</v>
      </c>
      <c r="M12" s="4">
        <v>1566</v>
      </c>
      <c r="N12" s="4">
        <v>8</v>
      </c>
      <c r="O12" s="4">
        <v>108</v>
      </c>
      <c r="P12" s="4">
        <v>0</v>
      </c>
      <c r="Q12" s="4" t="s">
        <v>23</v>
      </c>
    </row>
    <row r="13" spans="1:17" x14ac:dyDescent="0.25">
      <c r="A13" s="4">
        <v>9</v>
      </c>
      <c r="B13" s="5" t="s">
        <v>29</v>
      </c>
      <c r="C13" s="4">
        <v>272</v>
      </c>
      <c r="D13" s="4">
        <v>873</v>
      </c>
      <c r="E13" s="4">
        <v>14</v>
      </c>
      <c r="F13" s="4">
        <v>13</v>
      </c>
      <c r="G13" s="4">
        <v>35</v>
      </c>
      <c r="H13" s="4">
        <v>70</v>
      </c>
      <c r="I13" s="4">
        <v>218</v>
      </c>
      <c r="J13" s="4">
        <v>8</v>
      </c>
      <c r="K13" s="4">
        <v>249</v>
      </c>
      <c r="L13" s="4">
        <v>547</v>
      </c>
      <c r="M13" s="4">
        <v>767</v>
      </c>
      <c r="N13" s="4">
        <v>7</v>
      </c>
      <c r="O13" s="4">
        <v>90</v>
      </c>
      <c r="P13" s="4">
        <v>0</v>
      </c>
      <c r="Q13" s="4" t="s">
        <v>20</v>
      </c>
    </row>
    <row r="14" spans="1:17" x14ac:dyDescent="0.25">
      <c r="A14" s="4">
        <v>10</v>
      </c>
      <c r="B14" s="5" t="s">
        <v>30</v>
      </c>
      <c r="C14" s="4">
        <v>523</v>
      </c>
      <c r="D14" s="4">
        <v>1957</v>
      </c>
      <c r="E14" s="4">
        <v>22</v>
      </c>
      <c r="F14" s="4">
        <v>22</v>
      </c>
      <c r="G14" s="4">
        <v>31</v>
      </c>
      <c r="H14" s="4">
        <v>42</v>
      </c>
      <c r="I14" s="4">
        <v>417</v>
      </c>
      <c r="J14" s="4">
        <v>2</v>
      </c>
      <c r="K14" s="4">
        <v>453</v>
      </c>
      <c r="L14" s="4">
        <v>1219</v>
      </c>
      <c r="M14" s="4">
        <v>1711</v>
      </c>
      <c r="N14" s="4">
        <v>8</v>
      </c>
      <c r="O14" s="4">
        <v>150</v>
      </c>
      <c r="P14" s="4">
        <v>2</v>
      </c>
      <c r="Q14" s="4" t="s">
        <v>20</v>
      </c>
    </row>
    <row r="15" spans="1:17" x14ac:dyDescent="0.25">
      <c r="A15" s="4">
        <v>11</v>
      </c>
      <c r="B15" s="5" t="s">
        <v>31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 t="s">
        <v>32</v>
      </c>
    </row>
    <row r="16" spans="1:17" x14ac:dyDescent="0.25">
      <c r="A16" s="4">
        <v>12</v>
      </c>
      <c r="B16" s="5" t="s">
        <v>33</v>
      </c>
      <c r="C16" s="4">
        <v>353</v>
      </c>
      <c r="D16" s="4">
        <v>1179</v>
      </c>
      <c r="E16" s="4">
        <v>9</v>
      </c>
      <c r="F16" s="4">
        <v>16</v>
      </c>
      <c r="G16" s="4">
        <v>27</v>
      </c>
      <c r="H16" s="4">
        <v>31</v>
      </c>
      <c r="I16" s="4">
        <v>274</v>
      </c>
      <c r="J16" s="4">
        <v>6</v>
      </c>
      <c r="K16" s="4">
        <v>311</v>
      </c>
      <c r="L16" s="4">
        <v>672</v>
      </c>
      <c r="M16" s="4">
        <v>1024</v>
      </c>
      <c r="N16" s="4">
        <v>7</v>
      </c>
      <c r="O16" s="4">
        <v>126</v>
      </c>
      <c r="P16" s="4">
        <v>0</v>
      </c>
      <c r="Q16" s="4" t="s">
        <v>20</v>
      </c>
    </row>
    <row r="17" spans="1:17" x14ac:dyDescent="0.25">
      <c r="A17" s="4">
        <v>13</v>
      </c>
      <c r="B17" s="5" t="s">
        <v>34</v>
      </c>
      <c r="C17" s="4">
        <v>431</v>
      </c>
      <c r="D17" s="4">
        <v>1676</v>
      </c>
      <c r="E17" s="4">
        <v>16</v>
      </c>
      <c r="F17" s="4">
        <v>21</v>
      </c>
      <c r="G17" s="4">
        <v>16</v>
      </c>
      <c r="H17" s="4">
        <v>51</v>
      </c>
      <c r="I17" s="4">
        <v>377</v>
      </c>
      <c r="J17" s="4">
        <v>6</v>
      </c>
      <c r="K17" s="4">
        <v>401</v>
      </c>
      <c r="L17" s="4">
        <v>931</v>
      </c>
      <c r="M17" s="4">
        <v>1474</v>
      </c>
      <c r="N17" s="4">
        <v>7</v>
      </c>
      <c r="O17" s="4">
        <v>86</v>
      </c>
      <c r="P17" s="4">
        <v>0</v>
      </c>
      <c r="Q17" s="4" t="s">
        <v>20</v>
      </c>
    </row>
    <row r="18" spans="1:17" x14ac:dyDescent="0.25">
      <c r="A18" s="4">
        <v>14</v>
      </c>
      <c r="B18" s="5" t="s">
        <v>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32</v>
      </c>
    </row>
    <row r="19" spans="1:17" x14ac:dyDescent="0.25">
      <c r="A19" s="4">
        <v>15</v>
      </c>
      <c r="B19" s="5" t="s">
        <v>36</v>
      </c>
      <c r="C19" s="4">
        <v>233</v>
      </c>
      <c r="D19" s="4">
        <v>905</v>
      </c>
      <c r="E19" s="4">
        <v>11</v>
      </c>
      <c r="F19" s="4">
        <v>14</v>
      </c>
      <c r="G19" s="4">
        <v>38</v>
      </c>
      <c r="H19" s="4">
        <v>60</v>
      </c>
      <c r="I19" s="4">
        <v>221</v>
      </c>
      <c r="J19" s="4">
        <v>6</v>
      </c>
      <c r="K19" s="4">
        <v>196</v>
      </c>
      <c r="L19" s="4">
        <v>551</v>
      </c>
      <c r="M19" s="4">
        <v>859</v>
      </c>
      <c r="N19" s="4">
        <v>8</v>
      </c>
      <c r="O19" s="4">
        <v>142</v>
      </c>
      <c r="P19" s="4">
        <v>0</v>
      </c>
      <c r="Q19" s="4" t="s">
        <v>20</v>
      </c>
    </row>
    <row r="20" spans="1:17" x14ac:dyDescent="0.25">
      <c r="A20" s="4">
        <v>16</v>
      </c>
      <c r="B20" s="5" t="s">
        <v>37</v>
      </c>
      <c r="C20" s="4">
        <v>366</v>
      </c>
      <c r="D20" s="4">
        <v>1411</v>
      </c>
      <c r="E20" s="4">
        <v>12</v>
      </c>
      <c r="F20" s="4">
        <v>18</v>
      </c>
      <c r="G20" s="4">
        <v>15</v>
      </c>
      <c r="H20" s="4">
        <v>56</v>
      </c>
      <c r="I20" s="4">
        <v>328</v>
      </c>
      <c r="J20" s="4">
        <v>1</v>
      </c>
      <c r="K20" s="4">
        <v>312</v>
      </c>
      <c r="L20" s="4">
        <v>846</v>
      </c>
      <c r="M20" s="4">
        <v>1279</v>
      </c>
      <c r="N20" s="4">
        <v>8</v>
      </c>
      <c r="O20" s="4">
        <v>142</v>
      </c>
      <c r="P20" s="4">
        <v>3</v>
      </c>
      <c r="Q20" s="4" t="s">
        <v>23</v>
      </c>
    </row>
    <row r="21" spans="1:17" x14ac:dyDescent="0.25">
      <c r="A21" s="4">
        <v>17</v>
      </c>
      <c r="B21" s="5" t="s">
        <v>38</v>
      </c>
      <c r="C21" s="4">
        <v>426</v>
      </c>
      <c r="D21" s="4">
        <v>1711</v>
      </c>
      <c r="E21" s="4">
        <v>12</v>
      </c>
      <c r="F21" s="4">
        <v>22</v>
      </c>
      <c r="G21" s="4">
        <v>27</v>
      </c>
      <c r="H21" s="4">
        <v>34</v>
      </c>
      <c r="I21" s="4">
        <v>322</v>
      </c>
      <c r="J21" s="4">
        <v>4</v>
      </c>
      <c r="K21" s="4">
        <v>390</v>
      </c>
      <c r="L21" s="4">
        <v>1108</v>
      </c>
      <c r="M21" s="4">
        <v>1456</v>
      </c>
      <c r="N21" s="4">
        <v>7</v>
      </c>
      <c r="O21" s="4">
        <v>92</v>
      </c>
      <c r="P21" s="4">
        <v>3</v>
      </c>
      <c r="Q21" s="4" t="s">
        <v>20</v>
      </c>
    </row>
    <row r="22" spans="1:17" x14ac:dyDescent="0.25">
      <c r="A22" s="4">
        <v>18</v>
      </c>
      <c r="B22" s="5" t="s">
        <v>39</v>
      </c>
      <c r="C22" s="4">
        <v>381</v>
      </c>
      <c r="D22" s="4">
        <v>1439</v>
      </c>
      <c r="E22" s="4">
        <v>10</v>
      </c>
      <c r="F22" s="4">
        <v>9</v>
      </c>
      <c r="G22" s="4">
        <v>19</v>
      </c>
      <c r="H22" s="4">
        <v>65</v>
      </c>
      <c r="I22" s="4">
        <v>327</v>
      </c>
      <c r="J22" s="4">
        <v>3</v>
      </c>
      <c r="K22" s="4">
        <v>347</v>
      </c>
      <c r="L22" s="4">
        <v>818</v>
      </c>
      <c r="M22" s="4">
        <v>1314</v>
      </c>
      <c r="N22" s="4">
        <v>7</v>
      </c>
      <c r="O22" s="4">
        <v>125</v>
      </c>
      <c r="P22" s="4">
        <v>1</v>
      </c>
      <c r="Q22" s="4" t="s">
        <v>20</v>
      </c>
    </row>
    <row r="23" spans="1:17" x14ac:dyDescent="0.25">
      <c r="A23" s="4">
        <v>19</v>
      </c>
      <c r="B23" s="5" t="s">
        <v>40</v>
      </c>
      <c r="C23" s="4">
        <v>197</v>
      </c>
      <c r="D23" s="4">
        <v>689</v>
      </c>
      <c r="E23" s="4">
        <v>3</v>
      </c>
      <c r="F23" s="4">
        <v>6</v>
      </c>
      <c r="G23" s="4">
        <v>39</v>
      </c>
      <c r="H23" s="4">
        <v>58</v>
      </c>
      <c r="I23" s="4">
        <v>137</v>
      </c>
      <c r="J23" s="4">
        <v>4</v>
      </c>
      <c r="K23" s="4">
        <v>181</v>
      </c>
      <c r="L23" s="4">
        <v>406</v>
      </c>
      <c r="M23" s="4">
        <v>607</v>
      </c>
      <c r="N23" s="4">
        <v>8</v>
      </c>
      <c r="O23" s="4">
        <v>86</v>
      </c>
      <c r="P23" s="4">
        <v>0</v>
      </c>
      <c r="Q23" s="4" t="s">
        <v>20</v>
      </c>
    </row>
    <row r="24" spans="1:17" x14ac:dyDescent="0.25">
      <c r="A24" s="4">
        <v>20</v>
      </c>
      <c r="B24" s="5" t="s">
        <v>41</v>
      </c>
      <c r="C24" s="4">
        <v>237</v>
      </c>
      <c r="D24" s="4">
        <v>763</v>
      </c>
      <c r="E24" s="4">
        <v>10</v>
      </c>
      <c r="F24" s="4">
        <v>10</v>
      </c>
      <c r="G24" s="4">
        <v>23</v>
      </c>
      <c r="H24" s="4">
        <v>64</v>
      </c>
      <c r="I24" s="4">
        <v>148</v>
      </c>
      <c r="J24" s="4">
        <v>4</v>
      </c>
      <c r="K24" s="4">
        <v>203</v>
      </c>
      <c r="L24" s="4">
        <v>459</v>
      </c>
      <c r="M24" s="4">
        <v>674</v>
      </c>
      <c r="N24" s="4">
        <v>8</v>
      </c>
      <c r="O24" s="4">
        <v>98</v>
      </c>
      <c r="P24" s="4">
        <v>3</v>
      </c>
      <c r="Q24" s="4" t="s">
        <v>20</v>
      </c>
    </row>
    <row r="25" spans="1:17" x14ac:dyDescent="0.25">
      <c r="A25" s="4">
        <v>21</v>
      </c>
      <c r="B25" s="5" t="s">
        <v>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 t="s">
        <v>32</v>
      </c>
    </row>
    <row r="26" spans="1:17" x14ac:dyDescent="0.25">
      <c r="A26" s="4">
        <v>22</v>
      </c>
      <c r="B26" s="5" t="s">
        <v>43</v>
      </c>
      <c r="C26" s="4">
        <v>247</v>
      </c>
      <c r="D26" s="4">
        <v>882</v>
      </c>
      <c r="E26" s="4">
        <v>8</v>
      </c>
      <c r="F26" s="4">
        <v>6</v>
      </c>
      <c r="G26" s="4">
        <v>30</v>
      </c>
      <c r="H26" s="4">
        <v>49</v>
      </c>
      <c r="I26" s="4">
        <v>206</v>
      </c>
      <c r="J26" s="4">
        <v>1</v>
      </c>
      <c r="K26" s="4">
        <v>224</v>
      </c>
      <c r="L26" s="4">
        <v>561</v>
      </c>
      <c r="M26" s="4">
        <v>775</v>
      </c>
      <c r="N26" s="4">
        <v>8</v>
      </c>
      <c r="O26" s="4">
        <v>34</v>
      </c>
      <c r="P26" s="4">
        <v>2</v>
      </c>
      <c r="Q26" s="4" t="s">
        <v>20</v>
      </c>
    </row>
    <row r="27" spans="1:17" x14ac:dyDescent="0.25">
      <c r="A27" s="6"/>
      <c r="B27" s="7" t="s">
        <v>44</v>
      </c>
      <c r="C27" s="7">
        <f t="shared" ref="C27:P27" si="0">SUM(C5:C26)</f>
        <v>7376</v>
      </c>
      <c r="D27" s="7">
        <f t="shared" si="0"/>
        <v>27064</v>
      </c>
      <c r="E27" s="7">
        <f t="shared" si="0"/>
        <v>255</v>
      </c>
      <c r="F27" s="7">
        <f t="shared" si="0"/>
        <v>270</v>
      </c>
      <c r="G27" s="7">
        <f t="shared" si="0"/>
        <v>492</v>
      </c>
      <c r="H27" s="7">
        <f t="shared" si="0"/>
        <v>948</v>
      </c>
      <c r="I27" s="7">
        <f t="shared" si="0"/>
        <v>6005</v>
      </c>
      <c r="J27" s="7">
        <f t="shared" si="0"/>
        <v>65</v>
      </c>
      <c r="K27" s="7">
        <f t="shared" si="0"/>
        <v>6500</v>
      </c>
      <c r="L27" s="7">
        <f t="shared" si="0"/>
        <v>16338</v>
      </c>
      <c r="M27" s="7">
        <f t="shared" si="0"/>
        <v>24272</v>
      </c>
      <c r="N27" s="7">
        <f t="shared" si="0"/>
        <v>144</v>
      </c>
      <c r="O27" s="7">
        <f t="shared" si="0"/>
        <v>1795</v>
      </c>
      <c r="P27" s="7">
        <f t="shared" si="0"/>
        <v>22</v>
      </c>
      <c r="Q2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cols>
    <col min="1" max="1" width="42" customWidth="1"/>
    <col min="2" max="2" width="16" customWidth="1"/>
  </cols>
  <sheetData>
    <row r="1" spans="1:2" ht="17.25" x14ac:dyDescent="0.3">
      <c r="A1" s="1" t="s">
        <v>45</v>
      </c>
    </row>
    <row r="3" spans="1:2" x14ac:dyDescent="0.25">
      <c r="A3" s="3" t="s">
        <v>46</v>
      </c>
      <c r="B3" s="3" t="s">
        <v>47</v>
      </c>
    </row>
    <row r="4" spans="1:2" x14ac:dyDescent="0.25">
      <c r="A4" s="8" t="s">
        <v>48</v>
      </c>
      <c r="B4" s="8">
        <v>22</v>
      </c>
    </row>
    <row r="5" spans="1:2" x14ac:dyDescent="0.25">
      <c r="A5" s="8" t="s">
        <v>49</v>
      </c>
      <c r="B5" s="8">
        <v>19</v>
      </c>
    </row>
    <row r="6" spans="1:2" x14ac:dyDescent="0.25">
      <c r="A6" s="8" t="s">
        <v>20</v>
      </c>
      <c r="B6" s="8">
        <v>16</v>
      </c>
    </row>
    <row r="7" spans="1:2" x14ac:dyDescent="0.25">
      <c r="A7" s="8" t="s">
        <v>23</v>
      </c>
      <c r="B7" s="8">
        <v>3</v>
      </c>
    </row>
    <row r="8" spans="1:2" x14ac:dyDescent="0.25">
      <c r="A8" s="8" t="s">
        <v>50</v>
      </c>
      <c r="B8" s="8">
        <v>3</v>
      </c>
    </row>
    <row r="9" spans="1:2" x14ac:dyDescent="0.25">
      <c r="A9" s="8" t="s">
        <v>51</v>
      </c>
      <c r="B9" s="8">
        <v>86.4</v>
      </c>
    </row>
    <row r="12" spans="1:2" x14ac:dyDescent="0.25">
      <c r="A12" s="3" t="s">
        <v>52</v>
      </c>
      <c r="B12" s="3" t="s">
        <v>47</v>
      </c>
    </row>
    <row r="13" spans="1:2" x14ac:dyDescent="0.25">
      <c r="A13" s="8" t="s">
        <v>53</v>
      </c>
      <c r="B13" s="8">
        <v>7376</v>
      </c>
    </row>
    <row r="14" spans="1:2" x14ac:dyDescent="0.25">
      <c r="A14" s="8" t="s">
        <v>54</v>
      </c>
      <c r="B14" s="8">
        <v>255</v>
      </c>
    </row>
    <row r="15" spans="1:2" x14ac:dyDescent="0.25">
      <c r="A15" s="8" t="s">
        <v>55</v>
      </c>
      <c r="B15" s="8">
        <v>270</v>
      </c>
    </row>
    <row r="16" spans="1:2" x14ac:dyDescent="0.25">
      <c r="A16" s="8" t="s">
        <v>56</v>
      </c>
      <c r="B16" s="8">
        <v>492</v>
      </c>
    </row>
    <row r="17" spans="1:2" x14ac:dyDescent="0.25">
      <c r="A17" s="8" t="s">
        <v>57</v>
      </c>
      <c r="B17" s="8">
        <v>948</v>
      </c>
    </row>
    <row r="18" spans="1:2" x14ac:dyDescent="0.25">
      <c r="A18" s="8" t="s">
        <v>58</v>
      </c>
      <c r="B18" s="8">
        <v>6500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30" customWidth="1"/>
    <col min="3" max="3" width="22" customWidth="1"/>
    <col min="4" max="4" width="14" customWidth="1"/>
    <col min="5" max="5" width="18" customWidth="1"/>
    <col min="6" max="6" width="20" customWidth="1"/>
    <col min="7" max="7" width="10" customWidth="1"/>
  </cols>
  <sheetData>
    <row r="1" spans="1:7" ht="17.25" x14ac:dyDescent="0.3">
      <c r="A1" s="1" t="s">
        <v>59</v>
      </c>
    </row>
    <row r="2" spans="1:7" x14ac:dyDescent="0.25">
      <c r="A2" s="2" t="s">
        <v>60</v>
      </c>
    </row>
    <row r="4" spans="1:7" x14ac:dyDescent="0.25">
      <c r="A4" s="3" t="s">
        <v>2</v>
      </c>
      <c r="B4" s="3" t="s">
        <v>3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</row>
    <row r="5" spans="1:7" x14ac:dyDescent="0.25">
      <c r="A5" s="4">
        <v>1</v>
      </c>
      <c r="B5" s="5" t="s">
        <v>19</v>
      </c>
      <c r="C5" s="5" t="s">
        <v>66</v>
      </c>
      <c r="D5" s="4" t="s">
        <v>67</v>
      </c>
      <c r="E5" s="4" t="s">
        <v>68</v>
      </c>
      <c r="F5" s="9" t="s">
        <v>20</v>
      </c>
      <c r="G5" s="4">
        <v>0</v>
      </c>
    </row>
    <row r="6" spans="1:7" x14ac:dyDescent="0.25">
      <c r="A6" s="4">
        <v>2</v>
      </c>
      <c r="B6" s="5" t="s">
        <v>21</v>
      </c>
      <c r="C6" s="5" t="s">
        <v>69</v>
      </c>
      <c r="D6" s="4" t="s">
        <v>70</v>
      </c>
      <c r="E6" s="4" t="s">
        <v>71</v>
      </c>
      <c r="F6" s="9" t="s">
        <v>20</v>
      </c>
      <c r="G6" s="4">
        <v>0</v>
      </c>
    </row>
    <row r="7" spans="1:7" x14ac:dyDescent="0.25">
      <c r="A7" s="4">
        <v>3</v>
      </c>
      <c r="B7" s="5" t="s">
        <v>22</v>
      </c>
      <c r="C7" s="5" t="s">
        <v>72</v>
      </c>
      <c r="D7" s="4" t="s">
        <v>73</v>
      </c>
      <c r="E7" s="4" t="s">
        <v>74</v>
      </c>
      <c r="F7" s="10" t="s">
        <v>23</v>
      </c>
      <c r="G7" s="4">
        <v>3</v>
      </c>
    </row>
    <row r="8" spans="1:7" x14ac:dyDescent="0.25">
      <c r="A8" s="4">
        <v>4</v>
      </c>
      <c r="B8" s="5" t="s">
        <v>24</v>
      </c>
      <c r="C8" s="5" t="s">
        <v>75</v>
      </c>
      <c r="D8" s="4" t="s">
        <v>76</v>
      </c>
      <c r="E8" s="4" t="s">
        <v>77</v>
      </c>
      <c r="F8" s="9" t="s">
        <v>20</v>
      </c>
      <c r="G8" s="4">
        <v>0</v>
      </c>
    </row>
    <row r="9" spans="1:7" x14ac:dyDescent="0.25">
      <c r="A9" s="4">
        <v>5</v>
      </c>
      <c r="B9" s="5" t="s">
        <v>25</v>
      </c>
      <c r="C9" s="5" t="s">
        <v>78</v>
      </c>
      <c r="D9" s="4" t="s">
        <v>79</v>
      </c>
      <c r="E9" s="4" t="s">
        <v>80</v>
      </c>
      <c r="F9" s="9" t="s">
        <v>20</v>
      </c>
      <c r="G9" s="4">
        <v>0</v>
      </c>
    </row>
    <row r="10" spans="1:7" x14ac:dyDescent="0.25">
      <c r="A10" s="4">
        <v>6</v>
      </c>
      <c r="B10" s="5" t="s">
        <v>26</v>
      </c>
      <c r="C10" s="5" t="s">
        <v>81</v>
      </c>
      <c r="D10" s="4" t="s">
        <v>82</v>
      </c>
      <c r="E10" s="4" t="s">
        <v>83</v>
      </c>
      <c r="F10" s="9" t="s">
        <v>20</v>
      </c>
      <c r="G10" s="4">
        <v>0</v>
      </c>
    </row>
    <row r="11" spans="1:7" x14ac:dyDescent="0.25">
      <c r="A11" s="4">
        <v>7</v>
      </c>
      <c r="B11" s="5" t="s">
        <v>27</v>
      </c>
      <c r="C11" s="5" t="s">
        <v>84</v>
      </c>
      <c r="D11" s="4" t="s">
        <v>85</v>
      </c>
      <c r="E11" s="4" t="s">
        <v>71</v>
      </c>
      <c r="F11" s="9" t="s">
        <v>20</v>
      </c>
      <c r="G11" s="4">
        <v>0</v>
      </c>
    </row>
    <row r="12" spans="1:7" x14ac:dyDescent="0.25">
      <c r="A12" s="4">
        <v>8</v>
      </c>
      <c r="B12" s="5" t="s">
        <v>28</v>
      </c>
      <c r="C12" s="5" t="s">
        <v>86</v>
      </c>
      <c r="D12" s="4" t="s">
        <v>87</v>
      </c>
      <c r="E12" s="4" t="s">
        <v>88</v>
      </c>
      <c r="F12" s="10" t="s">
        <v>23</v>
      </c>
      <c r="G12" s="4">
        <v>2</v>
      </c>
    </row>
    <row r="13" spans="1:7" x14ac:dyDescent="0.25">
      <c r="A13" s="4">
        <v>9</v>
      </c>
      <c r="B13" s="5" t="s">
        <v>29</v>
      </c>
      <c r="C13" s="5" t="s">
        <v>89</v>
      </c>
      <c r="D13" s="4" t="s">
        <v>90</v>
      </c>
      <c r="E13" s="4" t="s">
        <v>91</v>
      </c>
      <c r="F13" s="9" t="s">
        <v>20</v>
      </c>
      <c r="G13" s="4">
        <v>0</v>
      </c>
    </row>
    <row r="14" spans="1:7" x14ac:dyDescent="0.25">
      <c r="A14" s="4">
        <v>10</v>
      </c>
      <c r="B14" s="5" t="s">
        <v>30</v>
      </c>
      <c r="C14" s="5" t="s">
        <v>92</v>
      </c>
      <c r="D14" s="4" t="s">
        <v>93</v>
      </c>
      <c r="E14" s="4" t="s">
        <v>68</v>
      </c>
      <c r="F14" s="9" t="s">
        <v>20</v>
      </c>
      <c r="G14" s="4">
        <v>0</v>
      </c>
    </row>
    <row r="15" spans="1:7" x14ac:dyDescent="0.25">
      <c r="A15" s="4">
        <v>11</v>
      </c>
      <c r="B15" s="5" t="s">
        <v>31</v>
      </c>
      <c r="C15" s="5" t="s">
        <v>94</v>
      </c>
      <c r="D15" s="4" t="s">
        <v>95</v>
      </c>
      <c r="E15" s="4"/>
      <c r="F15" s="11" t="s">
        <v>96</v>
      </c>
      <c r="G15" s="4">
        <v>3</v>
      </c>
    </row>
    <row r="16" spans="1:7" x14ac:dyDescent="0.25">
      <c r="A16" s="4">
        <v>12</v>
      </c>
      <c r="B16" s="5" t="s">
        <v>33</v>
      </c>
      <c r="C16" s="5" t="s">
        <v>97</v>
      </c>
      <c r="D16" s="4" t="s">
        <v>98</v>
      </c>
      <c r="E16" s="4" t="s">
        <v>99</v>
      </c>
      <c r="F16" s="9" t="s">
        <v>20</v>
      </c>
      <c r="G16" s="4">
        <v>0</v>
      </c>
    </row>
    <row r="17" spans="1:7" x14ac:dyDescent="0.25">
      <c r="A17" s="4">
        <v>13</v>
      </c>
      <c r="B17" s="5" t="s">
        <v>34</v>
      </c>
      <c r="C17" s="5" t="s">
        <v>100</v>
      </c>
      <c r="D17" s="4" t="s">
        <v>101</v>
      </c>
      <c r="E17" s="4" t="s">
        <v>102</v>
      </c>
      <c r="F17" s="9" t="s">
        <v>20</v>
      </c>
      <c r="G17" s="4">
        <v>0</v>
      </c>
    </row>
    <row r="18" spans="1:7" x14ac:dyDescent="0.25">
      <c r="A18" s="4">
        <v>14</v>
      </c>
      <c r="B18" s="5" t="s">
        <v>35</v>
      </c>
      <c r="C18" s="5" t="s">
        <v>103</v>
      </c>
      <c r="D18" s="4" t="s">
        <v>104</v>
      </c>
      <c r="E18" s="4"/>
      <c r="F18" s="11" t="s">
        <v>96</v>
      </c>
      <c r="G18" s="4">
        <v>3</v>
      </c>
    </row>
    <row r="19" spans="1:7" x14ac:dyDescent="0.25">
      <c r="A19" s="4">
        <v>15</v>
      </c>
      <c r="B19" s="5" t="s">
        <v>36</v>
      </c>
      <c r="C19" s="5" t="s">
        <v>105</v>
      </c>
      <c r="D19" s="4" t="s">
        <v>106</v>
      </c>
      <c r="E19" s="4" t="s">
        <v>107</v>
      </c>
      <c r="F19" s="9" t="s">
        <v>20</v>
      </c>
      <c r="G19" s="4">
        <v>0</v>
      </c>
    </row>
    <row r="20" spans="1:7" x14ac:dyDescent="0.25">
      <c r="A20" s="4">
        <v>16</v>
      </c>
      <c r="B20" s="5" t="s">
        <v>37</v>
      </c>
      <c r="C20" s="5" t="s">
        <v>108</v>
      </c>
      <c r="D20" s="4" t="s">
        <v>109</v>
      </c>
      <c r="E20" s="4" t="s">
        <v>110</v>
      </c>
      <c r="F20" s="10" t="s">
        <v>23</v>
      </c>
      <c r="G20" s="4">
        <v>1</v>
      </c>
    </row>
    <row r="21" spans="1:7" x14ac:dyDescent="0.25">
      <c r="A21" s="4">
        <v>17</v>
      </c>
      <c r="B21" s="5" t="s">
        <v>38</v>
      </c>
      <c r="C21" s="5" t="s">
        <v>111</v>
      </c>
      <c r="D21" s="4" t="s">
        <v>112</v>
      </c>
      <c r="E21" s="4" t="s">
        <v>113</v>
      </c>
      <c r="F21" s="9" t="s">
        <v>20</v>
      </c>
      <c r="G21" s="4">
        <v>0</v>
      </c>
    </row>
    <row r="22" spans="1:7" x14ac:dyDescent="0.25">
      <c r="A22" s="4">
        <v>18</v>
      </c>
      <c r="B22" s="5" t="s">
        <v>39</v>
      </c>
      <c r="C22" s="5" t="s">
        <v>114</v>
      </c>
      <c r="D22" s="4" t="s">
        <v>115</v>
      </c>
      <c r="E22" s="4" t="s">
        <v>116</v>
      </c>
      <c r="F22" s="9" t="s">
        <v>20</v>
      </c>
      <c r="G22" s="4">
        <v>0</v>
      </c>
    </row>
    <row r="23" spans="1:7" x14ac:dyDescent="0.25">
      <c r="A23" s="4">
        <v>19</v>
      </c>
      <c r="B23" s="5" t="s">
        <v>40</v>
      </c>
      <c r="C23" s="5" t="s">
        <v>117</v>
      </c>
      <c r="D23" s="4" t="s">
        <v>118</v>
      </c>
      <c r="E23" s="4" t="s">
        <v>119</v>
      </c>
      <c r="F23" s="9" t="s">
        <v>20</v>
      </c>
      <c r="G23" s="4">
        <v>0</v>
      </c>
    </row>
    <row r="24" spans="1:7" x14ac:dyDescent="0.25">
      <c r="A24" s="4">
        <v>20</v>
      </c>
      <c r="B24" s="5" t="s">
        <v>41</v>
      </c>
      <c r="C24" s="5" t="s">
        <v>120</v>
      </c>
      <c r="D24" s="4" t="s">
        <v>121</v>
      </c>
      <c r="E24" s="4" t="s">
        <v>122</v>
      </c>
      <c r="F24" s="9" t="s">
        <v>20</v>
      </c>
      <c r="G24" s="4">
        <v>0</v>
      </c>
    </row>
    <row r="25" spans="1:7" x14ac:dyDescent="0.25">
      <c r="A25" s="4">
        <v>21</v>
      </c>
      <c r="B25" s="5" t="s">
        <v>42</v>
      </c>
      <c r="C25" s="5" t="s">
        <v>123</v>
      </c>
      <c r="D25" s="4" t="s">
        <v>124</v>
      </c>
      <c r="E25" s="4"/>
      <c r="F25" s="11" t="s">
        <v>96</v>
      </c>
      <c r="G25" s="4">
        <v>3</v>
      </c>
    </row>
    <row r="26" spans="1:7" x14ac:dyDescent="0.25">
      <c r="A26" s="4">
        <v>22</v>
      </c>
      <c r="B26" s="5" t="s">
        <v>43</v>
      </c>
      <c r="C26" s="5" t="s">
        <v>125</v>
      </c>
      <c r="D26" s="4" t="s">
        <v>126</v>
      </c>
      <c r="E26" s="4" t="s">
        <v>119</v>
      </c>
      <c r="F26" s="9" t="s">
        <v>20</v>
      </c>
      <c r="G26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x14ac:dyDescent="0.25"/>
  <cols>
    <col min="1" max="1" width="10" customWidth="1"/>
    <col min="2" max="2" width="46" customWidth="1"/>
    <col min="3" max="3" width="12" customWidth="1"/>
    <col min="4" max="4" width="14" customWidth="1"/>
    <col min="5" max="5" width="52" customWidth="1"/>
  </cols>
  <sheetData>
    <row r="1" spans="1:5" ht="17.25" x14ac:dyDescent="0.3">
      <c r="A1" s="1" t="s">
        <v>127</v>
      </c>
    </row>
    <row r="3" spans="1:5" x14ac:dyDescent="0.25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</row>
    <row r="4" spans="1:5" x14ac:dyDescent="0.25">
      <c r="A4" s="4" t="s">
        <v>133</v>
      </c>
      <c r="B4" s="5" t="s">
        <v>53</v>
      </c>
      <c r="C4" s="4" t="s">
        <v>134</v>
      </c>
      <c r="D4" s="4" t="s">
        <v>135</v>
      </c>
      <c r="E4" s="5" t="s">
        <v>136</v>
      </c>
    </row>
    <row r="5" spans="1:5" x14ac:dyDescent="0.25">
      <c r="A5" s="4" t="s">
        <v>137</v>
      </c>
      <c r="B5" s="5" t="s">
        <v>138</v>
      </c>
      <c r="C5" s="4" t="s">
        <v>139</v>
      </c>
      <c r="D5" s="4" t="s">
        <v>135</v>
      </c>
      <c r="E5" s="5" t="s">
        <v>140</v>
      </c>
    </row>
    <row r="6" spans="1:5" x14ac:dyDescent="0.25">
      <c r="A6" s="4" t="s">
        <v>141</v>
      </c>
      <c r="B6" s="5" t="s">
        <v>54</v>
      </c>
      <c r="C6" s="4" t="s">
        <v>134</v>
      </c>
      <c r="D6" s="4" t="s">
        <v>135</v>
      </c>
      <c r="E6" s="5" t="s">
        <v>142</v>
      </c>
    </row>
    <row r="7" spans="1:5" x14ac:dyDescent="0.25">
      <c r="A7" s="4" t="s">
        <v>143</v>
      </c>
      <c r="B7" s="5" t="s">
        <v>55</v>
      </c>
      <c r="C7" s="4" t="s">
        <v>134</v>
      </c>
      <c r="D7" s="4" t="s">
        <v>135</v>
      </c>
      <c r="E7" s="5" t="s">
        <v>144</v>
      </c>
    </row>
    <row r="8" spans="1:5" x14ac:dyDescent="0.25">
      <c r="A8" s="4" t="s">
        <v>145</v>
      </c>
      <c r="B8" s="5" t="s">
        <v>56</v>
      </c>
      <c r="C8" s="4" t="s">
        <v>139</v>
      </c>
      <c r="D8" s="4" t="s">
        <v>135</v>
      </c>
      <c r="E8" s="5" t="s">
        <v>136</v>
      </c>
    </row>
    <row r="9" spans="1:5" x14ac:dyDescent="0.25">
      <c r="A9" s="4" t="s">
        <v>146</v>
      </c>
      <c r="B9" s="5" t="s">
        <v>57</v>
      </c>
      <c r="C9" s="4" t="s">
        <v>139</v>
      </c>
      <c r="D9" s="4" t="s">
        <v>135</v>
      </c>
      <c r="E9" s="5" t="s">
        <v>136</v>
      </c>
    </row>
    <row r="10" spans="1:5" x14ac:dyDescent="0.25">
      <c r="A10" s="4" t="s">
        <v>147</v>
      </c>
      <c r="B10" s="5" t="s">
        <v>148</v>
      </c>
      <c r="C10" s="4" t="s">
        <v>139</v>
      </c>
      <c r="D10" s="4" t="s">
        <v>135</v>
      </c>
      <c r="E10" s="5" t="s">
        <v>149</v>
      </c>
    </row>
    <row r="11" spans="1:5" x14ac:dyDescent="0.25">
      <c r="A11" s="4" t="s">
        <v>150</v>
      </c>
      <c r="B11" s="5" t="s">
        <v>151</v>
      </c>
      <c r="C11" s="4" t="s">
        <v>139</v>
      </c>
      <c r="D11" s="4" t="s">
        <v>135</v>
      </c>
      <c r="E11" s="5" t="s">
        <v>152</v>
      </c>
    </row>
    <row r="12" spans="1:5" x14ac:dyDescent="0.25">
      <c r="A12" s="4" t="s">
        <v>153</v>
      </c>
      <c r="B12" s="5" t="s">
        <v>58</v>
      </c>
      <c r="C12" s="4" t="s">
        <v>134</v>
      </c>
      <c r="D12" s="4" t="s">
        <v>135</v>
      </c>
      <c r="E12" s="5" t="s">
        <v>154</v>
      </c>
    </row>
    <row r="13" spans="1:5" x14ac:dyDescent="0.25">
      <c r="A13" s="4" t="s">
        <v>155</v>
      </c>
      <c r="B13" s="5" t="s">
        <v>156</v>
      </c>
      <c r="C13" s="4" t="s">
        <v>139</v>
      </c>
      <c r="D13" s="4" t="s">
        <v>135</v>
      </c>
      <c r="E13" s="5" t="s">
        <v>149</v>
      </c>
    </row>
    <row r="14" spans="1:5" x14ac:dyDescent="0.25">
      <c r="A14" s="4" t="s">
        <v>157</v>
      </c>
      <c r="B14" s="5" t="s">
        <v>158</v>
      </c>
      <c r="C14" s="4" t="s">
        <v>139</v>
      </c>
      <c r="D14" s="4" t="s">
        <v>135</v>
      </c>
      <c r="E14" s="5" t="s">
        <v>149</v>
      </c>
    </row>
    <row r="15" spans="1:5" x14ac:dyDescent="0.25">
      <c r="A15" s="4" t="s">
        <v>159</v>
      </c>
      <c r="B15" s="5" t="s">
        <v>160</v>
      </c>
      <c r="C15" s="4" t="s">
        <v>139</v>
      </c>
      <c r="D15" s="4" t="s">
        <v>135</v>
      </c>
      <c r="E15" s="5" t="s">
        <v>161</v>
      </c>
    </row>
    <row r="16" spans="1:5" ht="30" x14ac:dyDescent="0.25">
      <c r="A16" s="4" t="s">
        <v>162</v>
      </c>
      <c r="B16" s="5" t="s">
        <v>163</v>
      </c>
      <c r="C16" s="4" t="s">
        <v>139</v>
      </c>
      <c r="D16" s="4" t="s">
        <v>135</v>
      </c>
      <c r="E16" s="5" t="s">
        <v>136</v>
      </c>
    </row>
    <row r="17" spans="1:5" x14ac:dyDescent="0.25">
      <c r="A17" s="4" t="s">
        <v>164</v>
      </c>
      <c r="B17" s="5" t="s">
        <v>165</v>
      </c>
      <c r="C17" s="4" t="s">
        <v>166</v>
      </c>
      <c r="D17" s="4" t="s">
        <v>135</v>
      </c>
      <c r="E17" s="5" t="s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4" width="70" customWidth="1"/>
  </cols>
  <sheetData>
    <row r="1" spans="1:4" ht="17.25" x14ac:dyDescent="0.3">
      <c r="A1" s="1" t="s">
        <v>167</v>
      </c>
    </row>
    <row r="2" spans="1:4" x14ac:dyDescent="0.25">
      <c r="A2" s="2" t="s">
        <v>168</v>
      </c>
    </row>
    <row r="4" spans="1:4" x14ac:dyDescent="0.25">
      <c r="A4" s="3" t="s">
        <v>3</v>
      </c>
      <c r="B4" s="3" t="s">
        <v>169</v>
      </c>
      <c r="C4" s="3" t="s">
        <v>170</v>
      </c>
      <c r="D4" s="3" t="s">
        <v>171</v>
      </c>
    </row>
    <row r="5" spans="1:4" x14ac:dyDescent="0.25">
      <c r="A5" s="5" t="s">
        <v>24</v>
      </c>
      <c r="B5" s="4" t="s">
        <v>143</v>
      </c>
      <c r="C5" s="4" t="s">
        <v>172</v>
      </c>
      <c r="D5" s="5" t="s">
        <v>173</v>
      </c>
    </row>
    <row r="6" spans="1:4" x14ac:dyDescent="0.25">
      <c r="A6" s="5" t="s">
        <v>27</v>
      </c>
      <c r="B6" s="4" t="s">
        <v>147</v>
      </c>
      <c r="C6" s="4" t="s">
        <v>174</v>
      </c>
      <c r="D6" s="5" t="s">
        <v>175</v>
      </c>
    </row>
    <row r="7" spans="1:4" x14ac:dyDescent="0.25">
      <c r="A7" s="5" t="s">
        <v>29</v>
      </c>
      <c r="B7" s="4" t="s">
        <v>137</v>
      </c>
      <c r="C7" s="4" t="s">
        <v>176</v>
      </c>
      <c r="D7" s="5" t="s">
        <v>177</v>
      </c>
    </row>
    <row r="8" spans="1:4" x14ac:dyDescent="0.25">
      <c r="A8" s="5" t="s">
        <v>33</v>
      </c>
      <c r="B8" s="4" t="s">
        <v>137</v>
      </c>
      <c r="C8" s="4" t="s">
        <v>178</v>
      </c>
      <c r="D8" s="5" t="s">
        <v>179</v>
      </c>
    </row>
    <row r="9" spans="1:4" x14ac:dyDescent="0.25">
      <c r="A9" s="5" t="s">
        <v>36</v>
      </c>
      <c r="B9" s="4" t="s">
        <v>141</v>
      </c>
      <c r="C9" s="4" t="s">
        <v>180</v>
      </c>
      <c r="D9" s="5" t="s">
        <v>181</v>
      </c>
    </row>
    <row r="10" spans="1:4" x14ac:dyDescent="0.25">
      <c r="A10" s="5" t="s">
        <v>39</v>
      </c>
      <c r="B10" s="4" t="s">
        <v>157</v>
      </c>
      <c r="C10" s="4" t="s">
        <v>180</v>
      </c>
      <c r="D10" s="5" t="s">
        <v>182</v>
      </c>
    </row>
    <row r="11" spans="1:4" x14ac:dyDescent="0.25">
      <c r="A11" s="5" t="s">
        <v>41</v>
      </c>
      <c r="B11" s="4" t="s">
        <v>183</v>
      </c>
      <c r="C11" s="4" t="s">
        <v>184</v>
      </c>
      <c r="D11" s="5" t="s">
        <v>185</v>
      </c>
    </row>
    <row r="12" spans="1:4" x14ac:dyDescent="0.25">
      <c r="A12" s="5" t="s">
        <v>31</v>
      </c>
      <c r="B12" s="4" t="s">
        <v>186</v>
      </c>
      <c r="C12" s="4" t="s">
        <v>187</v>
      </c>
      <c r="D12" s="5" t="s">
        <v>188</v>
      </c>
    </row>
    <row r="13" spans="1:4" x14ac:dyDescent="0.25">
      <c r="A13" s="5" t="s">
        <v>35</v>
      </c>
      <c r="B13" s="4" t="s">
        <v>186</v>
      </c>
      <c r="C13" s="4" t="s">
        <v>187</v>
      </c>
      <c r="D13" s="5" t="s">
        <v>188</v>
      </c>
    </row>
    <row r="14" spans="1:4" x14ac:dyDescent="0.25">
      <c r="A14" s="5" t="s">
        <v>42</v>
      </c>
      <c r="B14" s="4" t="s">
        <v>186</v>
      </c>
      <c r="C14" s="4" t="s">
        <v>187</v>
      </c>
      <c r="D14" s="5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Dashboard</vt:lpstr>
      <vt:lpstr>Theo doi tien do</vt:lpstr>
      <vt:lpstr>Tu dien du lieu</vt:lpstr>
      <vt:lpstr>Loi co y (dap 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2026-06-19T03:53:09Z</dcterms:created>
  <dcterms:modified xsi:type="dcterms:W3CDTF">2026-06-19T04:02:42Z</dcterms:modified>
</cp:coreProperties>
</file>